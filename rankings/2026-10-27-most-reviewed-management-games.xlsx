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ing 2026" sheetId="1" state="visible" r:id="rId3"/>
    <sheet name="Excluded" sheetId="2" state="visible" r:id="rId4"/>
    <sheet name="Abou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Edit me: older games below this 2026 positive share are flagged as a possible review bomb; new games below it are marked as having mixed reviews.</t>
        </r>
      </text>
    </comment>
  </commentList>
</comments>
</file>

<file path=xl/sharedStrings.xml><?xml version="1.0" encoding="utf-8"?>
<sst xmlns="http://schemas.openxmlformats.org/spreadsheetml/2006/main" count="208" uniqueCount="139">
  <si>
    <t xml:space="preserve">Most reviewed management games on Steam, 2026</t>
  </si>
  <si>
    <t xml:space="preserve">Low-score threshold</t>
  </si>
  <si>
    <t xml:space="preserve">Reviews written 1 Jan – 27 Oct 2026 vs the same period of 2025. Only games with City Builder, Management or Colony Sim in their top 5 Steam tags (see About).</t>
  </si>
  <si>
    <t xml:space="preserve">Rank 2026</t>
  </si>
  <si>
    <t xml:space="preserve">Movement</t>
  </si>
  <si>
    <t xml:space="preserve">Game</t>
  </si>
  <si>
    <t xml:space="preserve">Rank 2025</t>
  </si>
  <si>
    <t xml:space="preserve">Reviews 2026 (to 27 Oct)</t>
  </si>
  <si>
    <t xml:space="preserve">Reviews 2025 (same period)</t>
  </si>
  <si>
    <t xml:space="preserve">Change</t>
  </si>
  <si>
    <t xml:space="preserve">Positive 2026</t>
  </si>
  <si>
    <t xml:space="preserve">First playable</t>
  </si>
  <si>
    <t xml:space="preserve">Qualifying tag</t>
  </si>
  <si>
    <t xml:space="preserve">Notes</t>
  </si>
  <si>
    <t xml:space="preserve">Steam page</t>
  </si>
  <si>
    <t xml:space="preserve">Schedule I</t>
  </si>
  <si>
    <t xml:space="preserve">Management #4</t>
  </si>
  <si>
    <t xml:space="preserve">Open</t>
  </si>
  <si>
    <t xml:space="preserve">Supermarket Together</t>
  </si>
  <si>
    <t xml:space="preserve">Management #5</t>
  </si>
  <si>
    <t xml:space="preserve">Cities: Skylines</t>
  </si>
  <si>
    <t xml:space="preserve">City Builder #1</t>
  </si>
  <si>
    <t xml:space="preserve">Dave the Diver</t>
  </si>
  <si>
    <t xml:space="preserve">Management #2</t>
  </si>
  <si>
    <t xml:space="preserve">RimWorld</t>
  </si>
  <si>
    <t xml:space="preserve">Colony Sim #1</t>
  </si>
  <si>
    <t xml:space="preserve">ReStory: Chill Electronics Repairs</t>
  </si>
  <si>
    <t xml:space="preserve">Management #3</t>
  </si>
  <si>
    <t xml:space="preserve">Retro Rewind - Video Store Simulator</t>
  </si>
  <si>
    <t xml:space="preserve">Manor Lords</t>
  </si>
  <si>
    <t xml:space="preserve">City Builder #2</t>
  </si>
  <si>
    <t xml:space="preserve">Cities: Skylines II</t>
  </si>
  <si>
    <t xml:space="preserve">Oxygen Not Included</t>
  </si>
  <si>
    <t xml:space="preserve">Lobotomy Corporation</t>
  </si>
  <si>
    <t xml:space="preserve">Management #1</t>
  </si>
  <si>
    <t xml:space="preserve">Supermarket Simulator</t>
  </si>
  <si>
    <t xml:space="preserve">WorldBox - God Simulator</t>
  </si>
  <si>
    <t xml:space="preserve">Colony Sim #5</t>
  </si>
  <si>
    <t xml:space="preserve">Frostpunk</t>
  </si>
  <si>
    <t xml:space="preserve">Cat Mail Co.</t>
  </si>
  <si>
    <t xml:space="preserve">Transport Fever 3</t>
  </si>
  <si>
    <t xml:space="preserve">Timberborn</t>
  </si>
  <si>
    <t xml:space="preserve">Waterpark Simulator</t>
  </si>
  <si>
    <t xml:space="preserve">TCG Card Shop Simulator</t>
  </si>
  <si>
    <t xml:space="preserve">Bellwright</t>
  </si>
  <si>
    <t xml:space="preserve">City Builder #3</t>
  </si>
  <si>
    <t xml:space="preserve">Planet Zoo</t>
  </si>
  <si>
    <t xml:space="preserve">Jurassic World Evolution 3</t>
  </si>
  <si>
    <t xml:space="preserve">City Builder #5</t>
  </si>
  <si>
    <t xml:space="preserve">Planet Zoo 2</t>
  </si>
  <si>
    <t xml:space="preserve">Spore</t>
  </si>
  <si>
    <t xml:space="preserve">Colony Sim #4</t>
  </si>
  <si>
    <t xml:space="preserve">Prison Architect</t>
  </si>
  <si>
    <t xml:space="preserve">Esports Manager 2026</t>
  </si>
  <si>
    <t xml:space="preserve">Nivalis Nights</t>
  </si>
  <si>
    <t xml:space="preserve">Kingdom Two Crowns</t>
  </si>
  <si>
    <t xml:space="preserve">Star Trek: Voyager - Across the Unknown</t>
  </si>
  <si>
    <t xml:space="preserve">Roadside Research</t>
  </si>
  <si>
    <t xml:space="preserve">Newcomers in the top 30</t>
  </si>
  <si>
    <t xml:space="preserve">Moved up</t>
  </si>
  <si>
    <t xml:space="preserve">Moved down</t>
  </si>
  <si>
    <t xml:space="preserve">Total reviews, top 30</t>
  </si>
  <si>
    <t xml:space="preserve">Blue text = data pulled from Steam. Black = formulas. Rank 2025 is among the same 267 qualifying games, by reviews written 1 Jan – 27 Oct 2025.</t>
  </si>
  <si>
    <t xml:space="preserve">Most reviewed games left out by the tag rule</t>
  </si>
  <si>
    <t xml:space="preserve">These had enough 2026 reviews to make the top 30 but failed the rule. Move any back by hand if you disagree.</t>
  </si>
  <si>
    <t xml:space="preserve">Why it's out</t>
  </si>
  <si>
    <t xml:space="preserve">Top 3 Steam tags</t>
  </si>
  <si>
    <t xml:space="preserve">Euro Truck Simulator 2</t>
  </si>
  <si>
    <t xml:space="preserve">No City Builder, Management or Colony Sim in its top 5 tags</t>
  </si>
  <si>
    <t xml:space="preserve">Driving, Transportation, Simulation</t>
  </si>
  <si>
    <t xml:space="preserve">Heroes of Might and Magic: Olden Era</t>
  </si>
  <si>
    <t xml:space="preserve">Turn-Based Strategy in top 5 tags</t>
  </si>
  <si>
    <t xml:space="preserve">Strategy, RPG, Turn-Based Strategy</t>
  </si>
  <si>
    <t xml:space="preserve">Cult of the Lamb</t>
  </si>
  <si>
    <t xml:space="preserve">Base Building, Action Roguelike, Cute</t>
  </si>
  <si>
    <t xml:space="preserve">Dressmaker</t>
  </si>
  <si>
    <t xml:space="preserve">Crafting, Design &amp; Illustration, Cozy</t>
  </si>
  <si>
    <t xml:space="preserve">Scritchy Scratchy</t>
  </si>
  <si>
    <t xml:space="preserve">Incremental + Idler in top 5 tags</t>
  </si>
  <si>
    <t xml:space="preserve">Incremental, Gambling, Idler</t>
  </si>
  <si>
    <t xml:space="preserve">Heartopia</t>
  </si>
  <si>
    <t xml:space="preserve">Free to Play, Life Sim, Multiplayer</t>
  </si>
  <si>
    <t xml:space="preserve">American Truck Simulator</t>
  </si>
  <si>
    <t xml:space="preserve">Automobile Sim, Driving, Open World</t>
  </si>
  <si>
    <t xml:space="preserve">Umamusume: Pretty Derby</t>
  </si>
  <si>
    <t xml:space="preserve">Anime, Horses, Cute</t>
  </si>
  <si>
    <t xml:space="preserve">Crusader Kings III</t>
  </si>
  <si>
    <t xml:space="preserve">Strategy, Medieval, Grand Strategy</t>
  </si>
  <si>
    <t xml:space="preserve">Europa Universalis IV</t>
  </si>
  <si>
    <t xml:space="preserve">4X in top 5 tags</t>
  </si>
  <si>
    <t xml:space="preserve">Grand Strategy, Strategy, Historical</t>
  </si>
  <si>
    <t xml:space="preserve">Factorio</t>
  </si>
  <si>
    <t xml:space="preserve">Automation, Base Building, Resource Management</t>
  </si>
  <si>
    <t xml:space="preserve">Bills Must Be Paid</t>
  </si>
  <si>
    <t xml:space="preserve">Incremental in top 5 tags</t>
  </si>
  <si>
    <t xml:space="preserve">Incremental, Roguelite, Capitalism</t>
  </si>
  <si>
    <t xml:space="preserve">StarRupture</t>
  </si>
  <si>
    <t xml:space="preserve">Early Access, Base Building, Automation</t>
  </si>
  <si>
    <t xml:space="preserve">Quarantine Zone: The Last Check</t>
  </si>
  <si>
    <t xml:space="preserve">Simulation, Zombies, Singleplayer</t>
  </si>
  <si>
    <t xml:space="preserve">Slime Rancher</t>
  </si>
  <si>
    <t xml:space="preserve">Cute, Exploration, Adventure</t>
  </si>
  <si>
    <t xml:space="preserve">Farming Simulator 25</t>
  </si>
  <si>
    <t xml:space="preserve">Simulation, Farming Sim, Multiplayer</t>
  </si>
  <si>
    <t xml:space="preserve">Sid Meier's Civilization VI</t>
  </si>
  <si>
    <t xml:space="preserve">Strategy, Turn-Based Strategy, Multiplayer</t>
  </si>
  <si>
    <t xml:space="preserve">Age of Empires II: Definitive Edition</t>
  </si>
  <si>
    <t xml:space="preserve">RTS in top 5 tags</t>
  </si>
  <si>
    <t xml:space="preserve">Strategy, RTS, City Builder</t>
  </si>
  <si>
    <t xml:space="preserve">Stellaris</t>
  </si>
  <si>
    <t xml:space="preserve">Space, Strategy, Grand Strategy</t>
  </si>
  <si>
    <t xml:space="preserve">Kenshi</t>
  </si>
  <si>
    <t xml:space="preserve">Open World, Sandbox, Survival</t>
  </si>
  <si>
    <t xml:space="preserve">Cookie Clicker</t>
  </si>
  <si>
    <t xml:space="preserve">Incremental, Idler, Horror</t>
  </si>
  <si>
    <t xml:space="preserve">The Last Caretaker</t>
  </si>
  <si>
    <t xml:space="preserve">Early Access, Survival, Crafting</t>
  </si>
  <si>
    <t xml:space="preserve">Ranch Simulator</t>
  </si>
  <si>
    <t xml:space="preserve">Simulation, Multiplayer, Online Co-Op</t>
  </si>
  <si>
    <t xml:space="preserve">Victoria 3</t>
  </si>
  <si>
    <t xml:space="preserve">Strategy, Simulation, Grand Strategy</t>
  </si>
  <si>
    <t xml:space="preserve">Sid Meier's Civilization VII</t>
  </si>
  <si>
    <t xml:space="preserve">Grand Strategy, Strategy, City Builder</t>
  </si>
  <si>
    <t xml:space="preserve">Fallout Shelter</t>
  </si>
  <si>
    <t xml:space="preserve">Free to Play, Base Building, Survival</t>
  </si>
  <si>
    <t xml:space="preserve">Which games count</t>
  </si>
  <si>
    <t xml:space="preserve">A game qualifies if City Builder, Management or Colony Sim is among its top 5 Steam tags (tags ordered by how many players applied them).</t>
  </si>
  <si>
    <t xml:space="preserve">It's left out if Incremental, Idler, Clicker, Turn-Based Strategy, 4X or RTS is among its top 5 tags. Further down the list, those count as a minor mechanic and are allowed.</t>
  </si>
  <si>
    <t xml:space="preserve">Pool: the top 300 current sellers for each of the City Builder, Management and Colony Sim tags (556 unique games, bundles excluded). 267 pass the rule.</t>
  </si>
  <si>
    <t xml:space="preserve">Numbers</t>
  </si>
  <si>
    <t xml:space="preserve">Source: Steam store review histograms and tag lists, pulled 27 October 2026. Review counts cover all languages.</t>
  </si>
  <si>
    <t xml:space="preserve">Reviews 2026: written 1 January – 27 October 2026. Reviews 2025 (same period): 1 January – 27 October 2025; Steam reports older games by month, so October 2025 counts as 27/31 of that month.</t>
  </si>
  <si>
    <t xml:space="preserve">Rank 2025: position among the same 267 qualifying games by 2025 same-period reviews. Movement compares it with Rank 2026. NEW = first playable in 2026. LATE '25 = launched in Nov–Dec 2025, so no same-period reviews to compare.</t>
  </si>
  <si>
    <t xml:space="preserve">First playable: date of the game's first Steam review, so Early Access counts.</t>
  </si>
  <si>
    <t xml:space="preserve">Caveats</t>
  </si>
  <si>
    <t xml:space="preserve">Review bombs inflate counts: Cities: Skylines, Cities: Skylines II and Prison Architect have unusually low 2026 positive scores, so part of their 2026 reviews are protest reviews rather than new players.</t>
  </si>
  <si>
    <t xml:space="preserve">Borderline games that still pass the rule: WorldBox (god game), Spore (Colony Sim is its 4th tag) and Dave the Diver (adventure with a restaurant side). Decide by hand whether they belong.</t>
  </si>
  <si>
    <t xml:space="preserve">The pool is today's best sellers, so games that were big in 2025 but have since faded can't show up as dropouts.</t>
  </si>
  <si>
    <t xml:space="preserve">Steam only: play on Game Pass, Epic or consoles isn't counted.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</si>
</sst>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General"/>
    <numFmt numFmtId="167" formatCode="#,##0;\-#,##0;\-"/>
    <numFmt numFmtId="168" formatCode="\+0%;\-0%;0%"/>
    <numFmt numFmtId="169" formatCode="d\ mmm\ yyyy"/>
    <numFmt numFmtId="170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5D61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3355CC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A1D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C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12806F"/>
      </font>
    </dxf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b val="1"/>
        <color rgb="FFB87A00"/>
      </font>
    </dxf>
    <dxf>
      <font>
        <name val="Arial"/>
        <charset val="1"/>
        <family val="0"/>
        <b val="1"/>
        <color rgb="FF5D618A"/>
      </font>
    </dxf>
    <dxf>
      <fill>
        <patternFill>
          <bgColor rgb="FFFBE3E1"/>
        </patternFill>
      </fill>
    </dxf>
    <dxf>
      <font>
        <name val="Arial"/>
        <charset val="1"/>
        <family val="0"/>
        <color rgb="FFC0392B"/>
      </font>
    </dxf>
    <dxf>
      <font>
        <name val="Arial"/>
        <charset val="1"/>
        <family val="0"/>
        <color rgb="FF12806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A00"/>
      <rgbColor rgb="FF800080"/>
      <rgbColor rgb="FF12806F"/>
      <rgbColor rgb="FFC0C0C0"/>
      <rgbColor rgb="FF808080"/>
      <rgbColor rgb="FF9999FF"/>
      <rgbColor rgb="FF993366"/>
      <rgbColor rgb="FFFBE3E1"/>
      <rgbColor rgb="FFCCFFFF"/>
      <rgbColor rgb="FF660066"/>
      <rgbColor rgb="FFFF8080"/>
      <rgbColor rgb="FF0066CC"/>
      <rgbColor rgb="FFD9DC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55CC"/>
      <rgbColor rgb="FF33CCCC"/>
      <rgbColor rgb="FF99CC00"/>
      <rgbColor rgb="FFFFCC00"/>
      <rgbColor rgb="FFFF9900"/>
      <rgbColor rgb="FFFF6600"/>
      <rgbColor rgb="FF5D618A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A1D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tore.steampowered.com/app/3164500/" TargetMode="External"/><Relationship Id="rId3" Type="http://schemas.openxmlformats.org/officeDocument/2006/relationships/hyperlink" Target="https://store.steampowered.com/app/2709570/" TargetMode="External"/><Relationship Id="rId4" Type="http://schemas.openxmlformats.org/officeDocument/2006/relationships/hyperlink" Target="https://store.steampowered.com/app/255710/" TargetMode="External"/><Relationship Id="rId5" Type="http://schemas.openxmlformats.org/officeDocument/2006/relationships/hyperlink" Target="https://store.steampowered.com/app/1868140/" TargetMode="External"/><Relationship Id="rId6" Type="http://schemas.openxmlformats.org/officeDocument/2006/relationships/hyperlink" Target="https://store.steampowered.com/app/294100/" TargetMode="External"/><Relationship Id="rId7" Type="http://schemas.openxmlformats.org/officeDocument/2006/relationships/hyperlink" Target="https://store.steampowered.com/app/3812600/" TargetMode="External"/><Relationship Id="rId8" Type="http://schemas.openxmlformats.org/officeDocument/2006/relationships/hyperlink" Target="https://store.steampowered.com/app/3552140/" TargetMode="External"/><Relationship Id="rId9" Type="http://schemas.openxmlformats.org/officeDocument/2006/relationships/hyperlink" Target="https://store.steampowered.com/app/1363080/" TargetMode="External"/><Relationship Id="rId10" Type="http://schemas.openxmlformats.org/officeDocument/2006/relationships/hyperlink" Target="https://store.steampowered.com/app/949230/" TargetMode="External"/><Relationship Id="rId11" Type="http://schemas.openxmlformats.org/officeDocument/2006/relationships/hyperlink" Target="https://store.steampowered.com/app/457140/" TargetMode="External"/><Relationship Id="rId12" Type="http://schemas.openxmlformats.org/officeDocument/2006/relationships/hyperlink" Target="https://store.steampowered.com/app/568220/" TargetMode="External"/><Relationship Id="rId13" Type="http://schemas.openxmlformats.org/officeDocument/2006/relationships/hyperlink" Target="https://store.steampowered.com/app/2670630/" TargetMode="External"/><Relationship Id="rId14" Type="http://schemas.openxmlformats.org/officeDocument/2006/relationships/hyperlink" Target="https://store.steampowered.com/app/1206560/" TargetMode="External"/><Relationship Id="rId15" Type="http://schemas.openxmlformats.org/officeDocument/2006/relationships/hyperlink" Target="https://store.steampowered.com/app/323190/" TargetMode="External"/><Relationship Id="rId16" Type="http://schemas.openxmlformats.org/officeDocument/2006/relationships/hyperlink" Target="https://store.steampowered.com/app/4380490/" TargetMode="External"/><Relationship Id="rId17" Type="http://schemas.openxmlformats.org/officeDocument/2006/relationships/hyperlink" Target="https://store.steampowered.com/app/3493540/" TargetMode="External"/><Relationship Id="rId18" Type="http://schemas.openxmlformats.org/officeDocument/2006/relationships/hyperlink" Target="https://store.steampowered.com/app/1062090/" TargetMode="External"/><Relationship Id="rId19" Type="http://schemas.openxmlformats.org/officeDocument/2006/relationships/hyperlink" Target="https://store.steampowered.com/app/3293260/" TargetMode="External"/><Relationship Id="rId20" Type="http://schemas.openxmlformats.org/officeDocument/2006/relationships/hyperlink" Target="https://store.steampowered.com/app/3070070/" TargetMode="External"/><Relationship Id="rId21" Type="http://schemas.openxmlformats.org/officeDocument/2006/relationships/hyperlink" Target="https://store.steampowered.com/app/1812450/" TargetMode="External"/><Relationship Id="rId22" Type="http://schemas.openxmlformats.org/officeDocument/2006/relationships/hyperlink" Target="https://store.steampowered.com/app/703080/" TargetMode="External"/><Relationship Id="rId23" Type="http://schemas.openxmlformats.org/officeDocument/2006/relationships/hyperlink" Target="https://store.steampowered.com/app/2958130/" TargetMode="External"/><Relationship Id="rId24" Type="http://schemas.openxmlformats.org/officeDocument/2006/relationships/hyperlink" Target="https://store.steampowered.com/app/3219030/" TargetMode="External"/><Relationship Id="rId25" Type="http://schemas.openxmlformats.org/officeDocument/2006/relationships/hyperlink" Target="https://store.steampowered.com/app/17390/" TargetMode="External"/><Relationship Id="rId26" Type="http://schemas.openxmlformats.org/officeDocument/2006/relationships/hyperlink" Target="https://store.steampowered.com/app/233450/" TargetMode="External"/><Relationship Id="rId27" Type="http://schemas.openxmlformats.org/officeDocument/2006/relationships/hyperlink" Target="https://store.steampowered.com/app/2749950/" TargetMode="External"/><Relationship Id="rId28" Type="http://schemas.openxmlformats.org/officeDocument/2006/relationships/hyperlink" Target="https://store.steampowered.com/app/1488490/" TargetMode="External"/><Relationship Id="rId29" Type="http://schemas.openxmlformats.org/officeDocument/2006/relationships/hyperlink" Target="https://store.steampowered.com/app/701160/" TargetMode="External"/><Relationship Id="rId30" Type="http://schemas.openxmlformats.org/officeDocument/2006/relationships/hyperlink" Target="https://store.steampowered.com/app/2643390/" TargetMode="External"/><Relationship Id="rId31" Type="http://schemas.openxmlformats.org/officeDocument/2006/relationships/hyperlink" Target="https://store.steampowered.com/app/3643170/" TargetMode="External"/><Relationship Id="rId3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9"/>
    <col collapsed="false" customWidth="true" hidden="false" outlineLevel="0" max="6" min="5" style="0" width="1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40"/>
    <col collapsed="false" customWidth="true" hidden="false" outlineLevel="0" max="12" min="12" style="0" width="10"/>
    <col collapsed="false" customWidth="true" hidden="false" outlineLevel="0" max="13" min="13" style="0" width="18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0</v>
      </c>
      <c r="M1" s="2" t="s">
        <v>1</v>
      </c>
      <c r="N1" s="3" t="n">
        <v>0.7</v>
      </c>
    </row>
    <row r="2" customFormat="false" ht="15" hidden="false" customHeight="false" outlineLevel="0" collapsed="false">
      <c r="A2" s="4" t="s">
        <v>2</v>
      </c>
    </row>
    <row r="4" customFormat="false" ht="31.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customFormat="false" ht="15" hidden="false" customHeight="false" outlineLevel="0" collapsed="false">
      <c r="A5" s="6" t="n">
        <f aca="false">RANK(E5,$E$5:$E$34,0)</f>
        <v>1</v>
      </c>
      <c r="B5" s="7" t="str">
        <f aca="false">IF(D5="",IF(YEAR(I5)&gt;=2026,"NEW","LATE '25"),IF(D5&gt;A5,"▲ "&amp;(D5-A5),IF(D5&lt;A5,"▼ "&amp;(A5-D5),"=")))</f>
        <v>=</v>
      </c>
      <c r="C5" s="8" t="s">
        <v>15</v>
      </c>
      <c r="D5" s="9" t="n">
        <v>1</v>
      </c>
      <c r="E5" s="10" t="n">
        <v>52032</v>
      </c>
      <c r="F5" s="10" t="n">
        <v>227251</v>
      </c>
      <c r="G5" s="11" t="n">
        <f aca="false">IF(OR(F5="",F5=0),"",E5/F5-1)</f>
        <v>-0.771037311166948</v>
      </c>
      <c r="H5" s="12" t="n">
        <v>0.96</v>
      </c>
      <c r="I5" s="13" t="n">
        <v>45740</v>
      </c>
      <c r="J5" s="8" t="s">
        <v>16</v>
      </c>
      <c r="K5" s="14" t="str">
        <f aca="false">IF(B5="NEW",IF(H5&lt;$N$1,"New in 2026, mixed reviews","New in 2026"),IF(H5&lt;$N$1,"Low positive score: possible review bomb",""))</f>
        <v/>
      </c>
      <c r="L5" s="15" t="s">
        <v>17</v>
      </c>
    </row>
    <row r="6" customFormat="false" ht="15" hidden="false" customHeight="false" outlineLevel="0" collapsed="false">
      <c r="A6" s="6" t="n">
        <f aca="false">RANK(E6,$E$5:$E$34,0)</f>
        <v>2</v>
      </c>
      <c r="B6" s="7" t="str">
        <f aca="false">IF(D6="",IF(YEAR(I6)&gt;=2026,"NEW","LATE '25"),IF(D6&gt;A6,"▲ "&amp;(D6-A6),IF(D6&lt;A6,"▼ "&amp;(A6-D6),"=")))</f>
        <v>=</v>
      </c>
      <c r="C6" s="8" t="s">
        <v>18</v>
      </c>
      <c r="D6" s="9" t="n">
        <v>2</v>
      </c>
      <c r="E6" s="10" t="n">
        <v>20290</v>
      </c>
      <c r="F6" s="10" t="n">
        <v>30544</v>
      </c>
      <c r="G6" s="11" t="n">
        <f aca="false">IF(OR(F6="",F6=0),"",E6/F6-1)</f>
        <v>-0.335712414876899</v>
      </c>
      <c r="H6" s="12" t="n">
        <v>0.92</v>
      </c>
      <c r="I6" s="13" t="n">
        <v>45513</v>
      </c>
      <c r="J6" s="8" t="s">
        <v>19</v>
      </c>
      <c r="K6" s="14" t="str">
        <f aca="false">IF(B6="NEW",IF(H6&lt;$N$1,"New in 2026, mixed reviews","New in 2026"),IF(H6&lt;$N$1,"Low positive score: possible review bomb",""))</f>
        <v/>
      </c>
      <c r="L6" s="15" t="s">
        <v>17</v>
      </c>
    </row>
    <row r="7" customFormat="false" ht="15" hidden="false" customHeight="false" outlineLevel="0" collapsed="false">
      <c r="A7" s="6" t="n">
        <f aca="false">RANK(E7,$E$5:$E$34,0)</f>
        <v>3</v>
      </c>
      <c r="B7" s="7" t="str">
        <f aca="false">IF(D7="",IF(YEAR(I7)&gt;=2026,"NEW","LATE '25"),IF(D7&gt;A7,"▲ "&amp;(D7-A7),IF(D7&lt;A7,"▼ "&amp;(A7-D7),"=")))</f>
        <v>▲ 2</v>
      </c>
      <c r="C7" s="8" t="s">
        <v>20</v>
      </c>
      <c r="D7" s="9" t="n">
        <v>5</v>
      </c>
      <c r="E7" s="10" t="n">
        <v>18129</v>
      </c>
      <c r="F7" s="10" t="n">
        <v>13159</v>
      </c>
      <c r="G7" s="11" t="n">
        <f aca="false">IF(OR(F7="",F7=0),"",E7/F7-1)</f>
        <v>0.377688274184969</v>
      </c>
      <c r="H7" s="12" t="n">
        <v>0.54</v>
      </c>
      <c r="I7" s="13" t="n">
        <v>42073</v>
      </c>
      <c r="J7" s="8" t="s">
        <v>21</v>
      </c>
      <c r="K7" s="14" t="str">
        <f aca="false">IF(B7="NEW",IF(H7&lt;$N$1,"New in 2026, mixed reviews","New in 2026"),IF(H7&lt;$N$1,"Low positive score: possible review bomb",""))</f>
        <v>Low positive score: possible review bomb</v>
      </c>
      <c r="L7" s="15" t="s">
        <v>17</v>
      </c>
    </row>
    <row r="8" customFormat="false" ht="15" hidden="false" customHeight="false" outlineLevel="0" collapsed="false">
      <c r="A8" s="6" t="n">
        <f aca="false">RANK(E8,$E$5:$E$34,0)</f>
        <v>4</v>
      </c>
      <c r="B8" s="7" t="str">
        <f aca="false">IF(D8="",IF(YEAR(I8)&gt;=2026,"NEW","LATE '25"),IF(D8&gt;A8,"▲ "&amp;(D8-A8),IF(D8&lt;A8,"▼ "&amp;(A8-D8),"=")))</f>
        <v>=</v>
      </c>
      <c r="C8" s="8" t="s">
        <v>22</v>
      </c>
      <c r="D8" s="9" t="n">
        <v>4</v>
      </c>
      <c r="E8" s="10" t="n">
        <v>18044</v>
      </c>
      <c r="F8" s="10" t="n">
        <v>14608</v>
      </c>
      <c r="G8" s="11" t="n">
        <f aca="false">IF(OR(F8="",F8=0),"",E8/F8-1)</f>
        <v>0.235213581599124</v>
      </c>
      <c r="H8" s="12" t="n">
        <v>0.93</v>
      </c>
      <c r="I8" s="13" t="n">
        <v>44861</v>
      </c>
      <c r="J8" s="8" t="s">
        <v>23</v>
      </c>
      <c r="K8" s="14" t="str">
        <f aca="false">IF(B8="NEW",IF(H8&lt;$N$1,"New in 2026, mixed reviews","New in 2026"),IF(H8&lt;$N$1,"Low positive score: possible review bomb",""))</f>
        <v/>
      </c>
      <c r="L8" s="15" t="s">
        <v>17</v>
      </c>
    </row>
    <row r="9" customFormat="false" ht="15" hidden="false" customHeight="false" outlineLevel="0" collapsed="false">
      <c r="A9" s="6" t="n">
        <f aca="false">RANK(E9,$E$5:$E$34,0)</f>
        <v>5</v>
      </c>
      <c r="B9" s="7" t="str">
        <f aca="false">IF(D9="",IF(YEAR(I9)&gt;=2026,"NEW","LATE '25"),IF(D9&gt;A9,"▲ "&amp;(D9-A9),IF(D9&lt;A9,"▼ "&amp;(A9-D9),"=")))</f>
        <v>▼ 2</v>
      </c>
      <c r="C9" s="8" t="s">
        <v>24</v>
      </c>
      <c r="D9" s="9" t="n">
        <v>3</v>
      </c>
      <c r="E9" s="10" t="n">
        <v>17330</v>
      </c>
      <c r="F9" s="10" t="n">
        <v>20846</v>
      </c>
      <c r="G9" s="11" t="n">
        <f aca="false">IF(OR(F9="",F9=0),"",E9/F9-1)</f>
        <v>-0.168665451405545</v>
      </c>
      <c r="H9" s="12" t="n">
        <v>0.96</v>
      </c>
      <c r="I9" s="13" t="n">
        <v>42566</v>
      </c>
      <c r="J9" s="8" t="s">
        <v>25</v>
      </c>
      <c r="K9" s="14" t="str">
        <f aca="false">IF(B9="NEW",IF(H9&lt;$N$1,"New in 2026, mixed reviews","New in 2026"),IF(H9&lt;$N$1,"Low positive score: possible review bomb",""))</f>
        <v/>
      </c>
      <c r="L9" s="15" t="s">
        <v>17</v>
      </c>
    </row>
    <row r="10" customFormat="false" ht="15" hidden="false" customHeight="false" outlineLevel="0" collapsed="false">
      <c r="A10" s="6" t="n">
        <f aca="false">RANK(E10,$E$5:$E$34,0)</f>
        <v>6</v>
      </c>
      <c r="B10" s="7" t="str">
        <f aca="false">IF(D10="",IF(YEAR(I10)&gt;=2026,"NEW","LATE '25"),IF(D10&gt;A10,"▲ "&amp;(D10-A10),IF(D10&lt;A10,"▼ "&amp;(A10-D10),"=")))</f>
        <v>NEW</v>
      </c>
      <c r="C10" s="8" t="s">
        <v>26</v>
      </c>
      <c r="D10" s="9"/>
      <c r="E10" s="10" t="n">
        <v>10941</v>
      </c>
      <c r="F10" s="10"/>
      <c r="G10" s="11" t="str">
        <f aca="false">IF(OR(F10="",F10=0),"",E10/F10-1)</f>
        <v/>
      </c>
      <c r="H10" s="12" t="n">
        <v>0.95</v>
      </c>
      <c r="I10" s="13" t="n">
        <v>46240</v>
      </c>
      <c r="J10" s="8" t="s">
        <v>27</v>
      </c>
      <c r="K10" s="14" t="str">
        <f aca="false">IF(B10="NEW",IF(H10&lt;$N$1,"New in 2026, mixed reviews","New in 2026"),IF(H10&lt;$N$1,"Low positive score: possible review bomb",""))</f>
        <v>New in 2026</v>
      </c>
      <c r="L10" s="15" t="s">
        <v>17</v>
      </c>
    </row>
    <row r="11" customFormat="false" ht="15" hidden="false" customHeight="false" outlineLevel="0" collapsed="false">
      <c r="A11" s="6" t="n">
        <f aca="false">RANK(E11,$E$5:$E$34,0)</f>
        <v>7</v>
      </c>
      <c r="B11" s="7" t="str">
        <f aca="false">IF(D11="",IF(YEAR(I11)&gt;=2026,"NEW","LATE '25"),IF(D11&gt;A11,"▲ "&amp;(D11-A11),IF(D11&lt;A11,"▼ "&amp;(A11-D11),"=")))</f>
        <v>NEW</v>
      </c>
      <c r="C11" s="8" t="s">
        <v>28</v>
      </c>
      <c r="D11" s="9"/>
      <c r="E11" s="10" t="n">
        <v>10747</v>
      </c>
      <c r="F11" s="10"/>
      <c r="G11" s="11" t="str">
        <f aca="false">IF(OR(F11="",F11=0),"",E11/F11-1)</f>
        <v/>
      </c>
      <c r="H11" s="12" t="n">
        <v>0.95</v>
      </c>
      <c r="I11" s="13" t="n">
        <v>46098</v>
      </c>
      <c r="J11" s="8" t="s">
        <v>27</v>
      </c>
      <c r="K11" s="14" t="str">
        <f aca="false">IF(B11="NEW",IF(H11&lt;$N$1,"New in 2026, mixed reviews","New in 2026"),IF(H11&lt;$N$1,"Low positive score: possible review bomb",""))</f>
        <v>New in 2026</v>
      </c>
      <c r="L11" s="15" t="s">
        <v>17</v>
      </c>
    </row>
    <row r="12" customFormat="false" ht="15" hidden="false" customHeight="false" outlineLevel="0" collapsed="false">
      <c r="A12" s="6" t="n">
        <f aca="false">RANK(E12,$E$5:$E$34,0)</f>
        <v>8</v>
      </c>
      <c r="B12" s="7" t="str">
        <f aca="false">IF(D12="",IF(YEAR(I12)&gt;=2026,"NEW","LATE '25"),IF(D12&gt;A12,"▲ "&amp;(D12-A12),IF(D12&lt;A12,"▼ "&amp;(A12-D12),"=")))</f>
        <v>▼ 1</v>
      </c>
      <c r="C12" s="8" t="s">
        <v>29</v>
      </c>
      <c r="D12" s="9" t="n">
        <v>7</v>
      </c>
      <c r="E12" s="10" t="n">
        <v>10445</v>
      </c>
      <c r="F12" s="10" t="n">
        <v>11217</v>
      </c>
      <c r="G12" s="11" t="n">
        <f aca="false">IF(OR(F12="",F12=0),"",E12/F12-1)</f>
        <v>-0.0688241062672729</v>
      </c>
      <c r="H12" s="12" t="n">
        <v>0.77</v>
      </c>
      <c r="I12" s="13" t="n">
        <v>45408</v>
      </c>
      <c r="J12" s="8" t="s">
        <v>30</v>
      </c>
      <c r="K12" s="14" t="str">
        <f aca="false">IF(B12="NEW",IF(H12&lt;$N$1,"New in 2026, mixed reviews","New in 2026"),IF(H12&lt;$N$1,"Low positive score: possible review bomb",""))</f>
        <v/>
      </c>
      <c r="L12" s="15" t="s">
        <v>17</v>
      </c>
    </row>
    <row r="13" customFormat="false" ht="15" hidden="false" customHeight="false" outlineLevel="0" collapsed="false">
      <c r="A13" s="6" t="n">
        <f aca="false">RANK(E13,$E$5:$E$34,0)</f>
        <v>9</v>
      </c>
      <c r="B13" s="7" t="str">
        <f aca="false">IF(D13="",IF(YEAR(I13)&gt;=2026,"NEW","LATE '25"),IF(D13&gt;A13,"▲ "&amp;(D13-A13),IF(D13&lt;A13,"▼ "&amp;(A13-D13),"=")))</f>
        <v>▲ 5</v>
      </c>
      <c r="C13" s="8" t="s">
        <v>31</v>
      </c>
      <c r="D13" s="9" t="n">
        <v>14</v>
      </c>
      <c r="E13" s="10" t="n">
        <v>9821</v>
      </c>
      <c r="F13" s="10" t="n">
        <v>9172</v>
      </c>
      <c r="G13" s="11" t="n">
        <f aca="false">IF(OR(F13="",F13=0),"",E13/F13-1)</f>
        <v>0.0707588312254688</v>
      </c>
      <c r="H13" s="12" t="n">
        <v>0.64</v>
      </c>
      <c r="I13" s="13" t="n">
        <v>45223</v>
      </c>
      <c r="J13" s="8" t="s">
        <v>21</v>
      </c>
      <c r="K13" s="14" t="str">
        <f aca="false">IF(B13="NEW",IF(H13&lt;$N$1,"New in 2026, mixed reviews","New in 2026"),IF(H13&lt;$N$1,"Low positive score: possible review bomb",""))</f>
        <v>Low positive score: possible review bomb</v>
      </c>
      <c r="L13" s="15" t="s">
        <v>17</v>
      </c>
    </row>
    <row r="14" customFormat="false" ht="15" hidden="false" customHeight="false" outlineLevel="0" collapsed="false">
      <c r="A14" s="6" t="n">
        <f aca="false">RANK(E14,$E$5:$E$34,0)</f>
        <v>10</v>
      </c>
      <c r="B14" s="7" t="str">
        <f aca="false">IF(D14="",IF(YEAR(I14)&gt;=2026,"NEW","LATE '25"),IF(D14&gt;A14,"▲ "&amp;(D14-A14),IF(D14&lt;A14,"▼ "&amp;(A14-D14),"=")))</f>
        <v>▲ 2</v>
      </c>
      <c r="C14" s="8" t="s">
        <v>32</v>
      </c>
      <c r="D14" s="9" t="n">
        <v>12</v>
      </c>
      <c r="E14" s="10" t="n">
        <v>8838</v>
      </c>
      <c r="F14" s="10" t="n">
        <v>9242</v>
      </c>
      <c r="G14" s="11" t="n">
        <f aca="false">IF(OR(F14="",F14=0),"",E14/F14-1)</f>
        <v>-0.0437134819303181</v>
      </c>
      <c r="H14" s="12" t="n">
        <v>0.95</v>
      </c>
      <c r="I14" s="13" t="n">
        <v>42873</v>
      </c>
      <c r="J14" s="8" t="s">
        <v>25</v>
      </c>
      <c r="K14" s="14" t="str">
        <f aca="false">IF(B14="NEW",IF(H14&lt;$N$1,"New in 2026, mixed reviews","New in 2026"),IF(H14&lt;$N$1,"Low positive score: possible review bomb",""))</f>
        <v/>
      </c>
      <c r="L14" s="15" t="s">
        <v>17</v>
      </c>
    </row>
    <row r="15" customFormat="false" ht="15" hidden="false" customHeight="false" outlineLevel="0" collapsed="false">
      <c r="A15" s="6" t="n">
        <f aca="false">RANK(E15,$E$5:$E$34,0)</f>
        <v>11</v>
      </c>
      <c r="B15" s="7" t="str">
        <f aca="false">IF(D15="",IF(YEAR(I15)&gt;=2026,"NEW","LATE '25"),IF(D15&gt;A15,"▲ "&amp;(D15-A15),IF(D15&lt;A15,"▼ "&amp;(A15-D15),"=")))</f>
        <v>▲ 6</v>
      </c>
      <c r="C15" s="8" t="s">
        <v>33</v>
      </c>
      <c r="D15" s="9" t="n">
        <v>17</v>
      </c>
      <c r="E15" s="10" t="n">
        <v>8355</v>
      </c>
      <c r="F15" s="10" t="n">
        <v>7760</v>
      </c>
      <c r="G15" s="11" t="n">
        <f aca="false">IF(OR(F15="",F15=0),"",E15/F15-1)</f>
        <v>0.0766752577319587</v>
      </c>
      <c r="H15" s="12" t="n">
        <v>0.95</v>
      </c>
      <c r="I15" s="13" t="n">
        <v>42720</v>
      </c>
      <c r="J15" s="8" t="s">
        <v>34</v>
      </c>
      <c r="K15" s="14" t="str">
        <f aca="false">IF(B15="NEW",IF(H15&lt;$N$1,"New in 2026, mixed reviews","New in 2026"),IF(H15&lt;$N$1,"Low positive score: possible review bomb",""))</f>
        <v/>
      </c>
      <c r="L15" s="15" t="s">
        <v>17</v>
      </c>
    </row>
    <row r="16" customFormat="false" ht="15" hidden="false" customHeight="false" outlineLevel="0" collapsed="false">
      <c r="A16" s="6" t="n">
        <f aca="false">RANK(E16,$E$5:$E$34,0)</f>
        <v>12</v>
      </c>
      <c r="B16" s="7" t="str">
        <f aca="false">IF(D16="",IF(YEAR(I16)&gt;=2026,"NEW","LATE '25"),IF(D16&gt;A16,"▲ "&amp;(D16-A16),IF(D16&lt;A16,"▼ "&amp;(A16-D16),"=")))</f>
        <v>▼ 6</v>
      </c>
      <c r="C16" s="8" t="s">
        <v>35</v>
      </c>
      <c r="D16" s="9" t="n">
        <v>6</v>
      </c>
      <c r="E16" s="10" t="n">
        <v>7900</v>
      </c>
      <c r="F16" s="10" t="n">
        <v>12981</v>
      </c>
      <c r="G16" s="11" t="n">
        <f aca="false">IF(OR(F16="",F16=0),"",E16/F16-1)</f>
        <v>-0.391418226638934</v>
      </c>
      <c r="H16" s="12" t="n">
        <v>0.79</v>
      </c>
      <c r="I16" s="13" t="n">
        <v>45342</v>
      </c>
      <c r="J16" s="8" t="s">
        <v>23</v>
      </c>
      <c r="K16" s="14" t="str">
        <f aca="false">IF(B16="NEW",IF(H16&lt;$N$1,"New in 2026, mixed reviews","New in 2026"),IF(H16&lt;$N$1,"Low positive score: possible review bomb",""))</f>
        <v/>
      </c>
      <c r="L16" s="15" t="s">
        <v>17</v>
      </c>
    </row>
    <row r="17" customFormat="false" ht="15" hidden="false" customHeight="false" outlineLevel="0" collapsed="false">
      <c r="A17" s="6" t="n">
        <f aca="false">RANK(E17,$E$5:$E$34,0)</f>
        <v>13</v>
      </c>
      <c r="B17" s="7" t="str">
        <f aca="false">IF(D17="",IF(YEAR(I17)&gt;=2026,"NEW","LATE '25"),IF(D17&gt;A17,"▲ "&amp;(D17-A17),IF(D17&lt;A17,"▼ "&amp;(A17-D17),"=")))</f>
        <v>▼ 5</v>
      </c>
      <c r="C17" s="8" t="s">
        <v>36</v>
      </c>
      <c r="D17" s="9" t="n">
        <v>8</v>
      </c>
      <c r="E17" s="10" t="n">
        <v>7862</v>
      </c>
      <c r="F17" s="10" t="n">
        <v>10119</v>
      </c>
      <c r="G17" s="11" t="n">
        <f aca="false">IF(OR(F17="",F17=0),"",E17/F17-1)</f>
        <v>-0.223045755509438</v>
      </c>
      <c r="H17" s="12" t="n">
        <v>0.95</v>
      </c>
      <c r="I17" s="13" t="n">
        <v>44532</v>
      </c>
      <c r="J17" s="8" t="s">
        <v>37</v>
      </c>
      <c r="K17" s="14" t="str">
        <f aca="false">IF(B17="NEW",IF(H17&lt;$N$1,"New in 2026, mixed reviews","New in 2026"),IF(H17&lt;$N$1,"Low positive score: possible review bomb",""))</f>
        <v/>
      </c>
      <c r="L17" s="15" t="s">
        <v>17</v>
      </c>
    </row>
    <row r="18" customFormat="false" ht="15" hidden="false" customHeight="false" outlineLevel="0" collapsed="false">
      <c r="A18" s="6" t="n">
        <f aca="false">RANK(E18,$E$5:$E$34,0)</f>
        <v>14</v>
      </c>
      <c r="B18" s="7" t="str">
        <f aca="false">IF(D18="",IF(YEAR(I18)&gt;=2026,"NEW","LATE '25"),IF(D18&gt;A18,"▲ "&amp;(D18-A18),IF(D18&lt;A18,"▼ "&amp;(A18-D18),"=")))</f>
        <v>▼ 1</v>
      </c>
      <c r="C18" s="8" t="s">
        <v>38</v>
      </c>
      <c r="D18" s="9" t="n">
        <v>13</v>
      </c>
      <c r="E18" s="10" t="n">
        <v>7802</v>
      </c>
      <c r="F18" s="10" t="n">
        <v>9202</v>
      </c>
      <c r="G18" s="11" t="n">
        <f aca="false">IF(OR(F18="",F18=0),"",E18/F18-1)</f>
        <v>-0.152140838948055</v>
      </c>
      <c r="H18" s="12" t="n">
        <v>0.93</v>
      </c>
      <c r="I18" s="13" t="n">
        <v>43214</v>
      </c>
      <c r="J18" s="8" t="s">
        <v>21</v>
      </c>
      <c r="K18" s="14" t="str">
        <f aca="false">IF(B18="NEW",IF(H18&lt;$N$1,"New in 2026, mixed reviews","New in 2026"),IF(H18&lt;$N$1,"Low positive score: possible review bomb",""))</f>
        <v/>
      </c>
      <c r="L18" s="15" t="s">
        <v>17</v>
      </c>
    </row>
    <row r="19" customFormat="false" ht="15" hidden="false" customHeight="false" outlineLevel="0" collapsed="false">
      <c r="A19" s="6" t="n">
        <f aca="false">RANK(E19,$E$5:$E$34,0)</f>
        <v>15</v>
      </c>
      <c r="B19" s="7" t="str">
        <f aca="false">IF(D19="",IF(YEAR(I19)&gt;=2026,"NEW","LATE '25"),IF(D19&gt;A19,"▲ "&amp;(D19-A19),IF(D19&lt;A19,"▼ "&amp;(A19-D19),"=")))</f>
        <v>NEW</v>
      </c>
      <c r="C19" s="8" t="s">
        <v>39</v>
      </c>
      <c r="D19" s="9"/>
      <c r="E19" s="10" t="n">
        <v>7392</v>
      </c>
      <c r="F19" s="10"/>
      <c r="G19" s="11" t="str">
        <f aca="false">IF(OR(F19="",F19=0),"",E19/F19-1)</f>
        <v/>
      </c>
      <c r="H19" s="12" t="n">
        <v>0.92</v>
      </c>
      <c r="I19" s="13" t="n">
        <v>46212</v>
      </c>
      <c r="J19" s="8" t="s">
        <v>23</v>
      </c>
      <c r="K19" s="14" t="str">
        <f aca="false">IF(B19="NEW",IF(H19&lt;$N$1,"New in 2026, mixed reviews","New in 2026"),IF(H19&lt;$N$1,"Low positive score: possible review bomb",""))</f>
        <v>New in 2026</v>
      </c>
      <c r="L19" s="15" t="s">
        <v>17</v>
      </c>
    </row>
    <row r="20" customFormat="false" ht="15" hidden="false" customHeight="false" outlineLevel="0" collapsed="false">
      <c r="A20" s="6" t="n">
        <f aca="false">RANK(E20,$E$5:$E$34,0)</f>
        <v>16</v>
      </c>
      <c r="B20" s="7" t="str">
        <f aca="false">IF(D20="",IF(YEAR(I20)&gt;=2026,"NEW","LATE '25"),IF(D20&gt;A20,"▲ "&amp;(D20-A20),IF(D20&lt;A20,"▼ "&amp;(A20-D20),"=")))</f>
        <v>NEW</v>
      </c>
      <c r="C20" s="8" t="s">
        <v>40</v>
      </c>
      <c r="D20" s="9"/>
      <c r="E20" s="10" t="n">
        <v>7078</v>
      </c>
      <c r="F20" s="10"/>
      <c r="G20" s="11" t="str">
        <f aca="false">IF(OR(F20="",F20=0),"",E20/F20-1)</f>
        <v/>
      </c>
      <c r="H20" s="12" t="n">
        <v>0.69</v>
      </c>
      <c r="I20" s="13" t="n">
        <v>46294</v>
      </c>
      <c r="J20" s="8" t="s">
        <v>27</v>
      </c>
      <c r="K20" s="14" t="str">
        <f aca="false">IF(B20="NEW",IF(H20&lt;$N$1,"New in 2026, mixed reviews","New in 2026"),IF(H20&lt;$N$1,"Low positive score: possible review bomb",""))</f>
        <v>New in 2026, mixed reviews</v>
      </c>
      <c r="L20" s="15" t="s">
        <v>17</v>
      </c>
    </row>
    <row r="21" customFormat="false" ht="15" hidden="false" customHeight="false" outlineLevel="0" collapsed="false">
      <c r="A21" s="6" t="n">
        <f aca="false">RANK(E21,$E$5:$E$34,0)</f>
        <v>17</v>
      </c>
      <c r="B21" s="7" t="str">
        <f aca="false">IF(D21="",IF(YEAR(I21)&gt;=2026,"NEW","LATE '25"),IF(D21&gt;A21,"▲ "&amp;(D21-A21),IF(D21&lt;A21,"▼ "&amp;(A21-D21),"=")))</f>
        <v>▲ 7</v>
      </c>
      <c r="C21" s="8" t="s">
        <v>41</v>
      </c>
      <c r="D21" s="9" t="n">
        <v>24</v>
      </c>
      <c r="E21" s="10" t="n">
        <v>6788</v>
      </c>
      <c r="F21" s="10" t="n">
        <v>4720</v>
      </c>
      <c r="G21" s="11" t="n">
        <f aca="false">IF(OR(F21="",F21=0),"",E21/F21-1)</f>
        <v>0.438135593220339</v>
      </c>
      <c r="H21" s="12" t="n">
        <v>0.95</v>
      </c>
      <c r="I21" s="13" t="n">
        <v>44454</v>
      </c>
      <c r="J21" s="8" t="s">
        <v>21</v>
      </c>
      <c r="K21" s="14" t="str">
        <f aca="false">IF(B21="NEW",IF(H21&lt;$N$1,"New in 2026, mixed reviews","New in 2026"),IF(H21&lt;$N$1,"Low positive score: possible review bomb",""))</f>
        <v/>
      </c>
      <c r="L21" s="15" t="s">
        <v>17</v>
      </c>
    </row>
    <row r="22" customFormat="false" ht="15" hidden="false" customHeight="false" outlineLevel="0" collapsed="false">
      <c r="A22" s="6" t="n">
        <f aca="false">RANK(E22,$E$5:$E$34,0)</f>
        <v>18</v>
      </c>
      <c r="B22" s="7" t="str">
        <f aca="false">IF(D22="",IF(YEAR(I22)&gt;=2026,"NEW","LATE '25"),IF(D22&gt;A22,"▲ "&amp;(D22-A22),IF(D22&lt;A22,"▼ "&amp;(A22-D22),"=")))</f>
        <v>▲ 5</v>
      </c>
      <c r="C22" s="8" t="s">
        <v>42</v>
      </c>
      <c r="D22" s="9" t="n">
        <v>23</v>
      </c>
      <c r="E22" s="10" t="n">
        <v>6768</v>
      </c>
      <c r="F22" s="10" t="n">
        <v>5149</v>
      </c>
      <c r="G22" s="11" t="n">
        <f aca="false">IF(OR(F22="",F22=0),"",E22/F22-1)</f>
        <v>0.314429986405127</v>
      </c>
      <c r="H22" s="12" t="n">
        <v>0.96</v>
      </c>
      <c r="I22" s="13" t="n">
        <v>45891</v>
      </c>
      <c r="J22" s="8" t="s">
        <v>27</v>
      </c>
      <c r="K22" s="14" t="str">
        <f aca="false">IF(B22="NEW",IF(H22&lt;$N$1,"New in 2026, mixed reviews","New in 2026"),IF(H22&lt;$N$1,"Low positive score: possible review bomb",""))</f>
        <v/>
      </c>
      <c r="L22" s="15" t="s">
        <v>17</v>
      </c>
    </row>
    <row r="23" customFormat="false" ht="15" hidden="false" customHeight="false" outlineLevel="0" collapsed="false">
      <c r="A23" s="6" t="n">
        <f aca="false">RANK(E23,$E$5:$E$34,0)</f>
        <v>19</v>
      </c>
      <c r="B23" s="7" t="str">
        <f aca="false">IF(D23="",IF(YEAR(I23)&gt;=2026,"NEW","LATE '25"),IF(D23&gt;A23,"▲ "&amp;(D23-A23),IF(D23&lt;A23,"▼ "&amp;(A23-D23),"=")))</f>
        <v>▼ 4</v>
      </c>
      <c r="C23" s="8" t="s">
        <v>43</v>
      </c>
      <c r="D23" s="9" t="n">
        <v>15</v>
      </c>
      <c r="E23" s="10" t="n">
        <v>6302</v>
      </c>
      <c r="F23" s="10" t="n">
        <v>9045</v>
      </c>
      <c r="G23" s="11" t="n">
        <f aca="false">IF(OR(F23="",F23=0),"",E23/F23-1)</f>
        <v>-0.30326147042565</v>
      </c>
      <c r="H23" s="12" t="n">
        <v>0.93</v>
      </c>
      <c r="I23" s="13" t="n">
        <v>45550</v>
      </c>
      <c r="J23" s="8" t="s">
        <v>23</v>
      </c>
      <c r="K23" s="14" t="str">
        <f aca="false">IF(B23="NEW",IF(H23&lt;$N$1,"New in 2026, mixed reviews","New in 2026"),IF(H23&lt;$N$1,"Low positive score: possible review bomb",""))</f>
        <v/>
      </c>
      <c r="L23" s="15" t="s">
        <v>17</v>
      </c>
    </row>
    <row r="24" customFormat="false" ht="15" hidden="false" customHeight="false" outlineLevel="0" collapsed="false">
      <c r="A24" s="6" t="n">
        <f aca="false">RANK(E24,$E$5:$E$34,0)</f>
        <v>20</v>
      </c>
      <c r="B24" s="7" t="str">
        <f aca="false">IF(D24="",IF(YEAR(I24)&gt;=2026,"NEW","LATE '25"),IF(D24&gt;A24,"▲ "&amp;(D24-A24),IF(D24&lt;A24,"▼ "&amp;(A24-D24),"=")))</f>
        <v>▲ 10</v>
      </c>
      <c r="C24" s="8" t="s">
        <v>44</v>
      </c>
      <c r="D24" s="9" t="n">
        <v>30</v>
      </c>
      <c r="E24" s="10" t="n">
        <v>6125</v>
      </c>
      <c r="F24" s="10" t="n">
        <v>3464</v>
      </c>
      <c r="G24" s="11" t="n">
        <f aca="false">IF(OR(F24="",F24=0),"",E24/F24-1)</f>
        <v>0.768187066974596</v>
      </c>
      <c r="H24" s="12" t="n">
        <v>0.77</v>
      </c>
      <c r="I24" s="13" t="n">
        <v>45405</v>
      </c>
      <c r="J24" s="8" t="s">
        <v>45</v>
      </c>
      <c r="K24" s="14" t="str">
        <f aca="false">IF(B24="NEW",IF(H24&lt;$N$1,"New in 2026, mixed reviews","New in 2026"),IF(H24&lt;$N$1,"Low positive score: possible review bomb",""))</f>
        <v/>
      </c>
      <c r="L24" s="15" t="s">
        <v>17</v>
      </c>
    </row>
    <row r="25" customFormat="false" ht="15" hidden="false" customHeight="false" outlineLevel="0" collapsed="false">
      <c r="A25" s="6" t="n">
        <f aca="false">RANK(E25,$E$5:$E$34,0)</f>
        <v>21</v>
      </c>
      <c r="B25" s="7" t="str">
        <f aca="false">IF(D25="",IF(YEAR(I25)&gt;=2026,"NEW","LATE '25"),IF(D25&gt;A25,"▲ "&amp;(D25-A25),IF(D25&lt;A25,"▼ "&amp;(A25-D25),"=")))</f>
        <v>▲ 1</v>
      </c>
      <c r="C25" s="8" t="s">
        <v>46</v>
      </c>
      <c r="D25" s="9" t="n">
        <v>22</v>
      </c>
      <c r="E25" s="10" t="n">
        <v>6101</v>
      </c>
      <c r="F25" s="10" t="n">
        <v>5271</v>
      </c>
      <c r="G25" s="11" t="n">
        <f aca="false">IF(OR(F25="",F25=0),"",E25/F25-1)</f>
        <v>0.157465376588883</v>
      </c>
      <c r="H25" s="12" t="n">
        <v>0.87</v>
      </c>
      <c r="I25" s="13" t="n">
        <v>43774</v>
      </c>
      <c r="J25" s="8" t="s">
        <v>34</v>
      </c>
      <c r="K25" s="14" t="str">
        <f aca="false">IF(B25="NEW",IF(H25&lt;$N$1,"New in 2026, mixed reviews","New in 2026"),IF(H25&lt;$N$1,"Low positive score: possible review bomb",""))</f>
        <v/>
      </c>
      <c r="L25" s="15" t="s">
        <v>17</v>
      </c>
    </row>
    <row r="26" customFormat="false" ht="15" hidden="false" customHeight="false" outlineLevel="0" collapsed="false">
      <c r="A26" s="6" t="n">
        <f aca="false">RANK(E26,$E$5:$E$34,0)</f>
        <v>22</v>
      </c>
      <c r="B26" s="7" t="str">
        <f aca="false">IF(D26="",IF(YEAR(I26)&gt;=2026,"NEW","LATE '25"),IF(D26&gt;A26,"▲ "&amp;(D26-A26),IF(D26&lt;A26,"▼ "&amp;(A26-D26),"=")))</f>
        <v>▲ 20</v>
      </c>
      <c r="C26" s="8" t="s">
        <v>47</v>
      </c>
      <c r="D26" s="9" t="n">
        <v>42</v>
      </c>
      <c r="E26" s="10" t="n">
        <v>5646</v>
      </c>
      <c r="F26" s="10" t="n">
        <v>2592</v>
      </c>
      <c r="G26" s="11" t="n">
        <f aca="false">IF(OR(F26="",F26=0),"",E26/F26-1)</f>
        <v>1.17824074074074</v>
      </c>
      <c r="H26" s="12" t="n">
        <v>0.93</v>
      </c>
      <c r="I26" s="13" t="n">
        <v>45951</v>
      </c>
      <c r="J26" s="8" t="s">
        <v>48</v>
      </c>
      <c r="K26" s="14" t="str">
        <f aca="false">IF(B26="NEW",IF(H26&lt;$N$1,"New in 2026, mixed reviews","New in 2026"),IF(H26&lt;$N$1,"Low positive score: possible review bomb",""))</f>
        <v/>
      </c>
      <c r="L26" s="15" t="s">
        <v>17</v>
      </c>
    </row>
    <row r="27" customFormat="false" ht="15" hidden="false" customHeight="false" outlineLevel="0" collapsed="false">
      <c r="A27" s="6" t="n">
        <f aca="false">RANK(E27,$E$5:$E$34,0)</f>
        <v>23</v>
      </c>
      <c r="B27" s="7" t="str">
        <f aca="false">IF(D27="",IF(YEAR(I27)&gt;=2026,"NEW","LATE '25"),IF(D27&gt;A27,"▲ "&amp;(D27-A27),IF(D27&lt;A27,"▼ "&amp;(A27-D27),"=")))</f>
        <v>NEW</v>
      </c>
      <c r="C27" s="8" t="s">
        <v>49</v>
      </c>
      <c r="D27" s="9"/>
      <c r="E27" s="10" t="n">
        <v>5498</v>
      </c>
      <c r="F27" s="10"/>
      <c r="G27" s="11" t="str">
        <f aca="false">IF(OR(F27="",F27=0),"",E27/F27-1)</f>
        <v/>
      </c>
      <c r="H27" s="12" t="n">
        <v>0.62</v>
      </c>
      <c r="I27" s="13" t="n">
        <v>46308</v>
      </c>
      <c r="J27" s="8" t="s">
        <v>48</v>
      </c>
      <c r="K27" s="14" t="str">
        <f aca="false">IF(B27="NEW",IF(H27&lt;$N$1,"New in 2026, mixed reviews","New in 2026"),IF(H27&lt;$N$1,"Low positive score: possible review bomb",""))</f>
        <v>New in 2026, mixed reviews</v>
      </c>
      <c r="L27" s="15" t="s">
        <v>17</v>
      </c>
    </row>
    <row r="28" customFormat="false" ht="15" hidden="false" customHeight="false" outlineLevel="0" collapsed="false">
      <c r="A28" s="6" t="n">
        <f aca="false">RANK(E28,$E$5:$E$34,0)</f>
        <v>24</v>
      </c>
      <c r="B28" s="7" t="str">
        <f aca="false">IF(D28="",IF(YEAR(I28)&gt;=2026,"NEW","LATE '25"),IF(D28&gt;A28,"▲ "&amp;(D28-A28),IF(D28&lt;A28,"▼ "&amp;(A28-D28),"=")))</f>
        <v>▼ 3</v>
      </c>
      <c r="C28" s="8" t="s">
        <v>50</v>
      </c>
      <c r="D28" s="9" t="n">
        <v>21</v>
      </c>
      <c r="E28" s="10" t="n">
        <v>4829</v>
      </c>
      <c r="F28" s="10" t="n">
        <v>5675</v>
      </c>
      <c r="G28" s="11" t="n">
        <f aca="false">IF(OR(F28="",F28=0),"",E28/F28-1)</f>
        <v>-0.149074889867841</v>
      </c>
      <c r="H28" s="12" t="n">
        <v>0.93</v>
      </c>
      <c r="I28" s="13" t="n">
        <v>40501</v>
      </c>
      <c r="J28" s="8" t="s">
        <v>51</v>
      </c>
      <c r="K28" s="14" t="str">
        <f aca="false">IF(B28="NEW",IF(H28&lt;$N$1,"New in 2026, mixed reviews","New in 2026"),IF(H28&lt;$N$1,"Low positive score: possible review bomb",""))</f>
        <v/>
      </c>
      <c r="L28" s="15" t="s">
        <v>17</v>
      </c>
    </row>
    <row r="29" customFormat="false" ht="15" hidden="false" customHeight="false" outlineLevel="0" collapsed="false">
      <c r="A29" s="6" t="n">
        <f aca="false">RANK(E29,$E$5:$E$34,0)</f>
        <v>25</v>
      </c>
      <c r="B29" s="7" t="str">
        <f aca="false">IF(D29="",IF(YEAR(I29)&gt;=2026,"NEW","LATE '25"),IF(D29&gt;A29,"▲ "&amp;(D29-A29),IF(D29&lt;A29,"▼ "&amp;(A29-D29),"=")))</f>
        <v>▲ 27</v>
      </c>
      <c r="C29" s="8" t="s">
        <v>52</v>
      </c>
      <c r="D29" s="9" t="n">
        <v>52</v>
      </c>
      <c r="E29" s="10" t="n">
        <v>4592</v>
      </c>
      <c r="F29" s="10" t="n">
        <v>1988</v>
      </c>
      <c r="G29" s="11" t="n">
        <f aca="false">IF(OR(F29="",F29=0),"",E29/F29-1)</f>
        <v>1.30985915492958</v>
      </c>
      <c r="H29" s="12" t="n">
        <v>0.29</v>
      </c>
      <c r="I29" s="13" t="n">
        <v>41353</v>
      </c>
      <c r="J29" s="8" t="s">
        <v>37</v>
      </c>
      <c r="K29" s="14" t="str">
        <f aca="false">IF(B29="NEW",IF(H29&lt;$N$1,"New in 2026, mixed reviews","New in 2026"),IF(H29&lt;$N$1,"Low positive score: possible review bomb",""))</f>
        <v>Low positive score: possible review bomb</v>
      </c>
      <c r="L29" s="15" t="s">
        <v>17</v>
      </c>
    </row>
    <row r="30" customFormat="false" ht="15" hidden="false" customHeight="false" outlineLevel="0" collapsed="false">
      <c r="A30" s="6" t="n">
        <f aca="false">RANK(E30,$E$5:$E$34,0)</f>
        <v>26</v>
      </c>
      <c r="B30" s="7" t="str">
        <f aca="false">IF(D30="",IF(YEAR(I30)&gt;=2026,"NEW","LATE '25"),IF(D30&gt;A30,"▲ "&amp;(D30-A30),IF(D30&lt;A30,"▼ "&amp;(A30-D30),"=")))</f>
        <v>NEW</v>
      </c>
      <c r="C30" s="8" t="s">
        <v>53</v>
      </c>
      <c r="D30" s="9"/>
      <c r="E30" s="10" t="n">
        <v>4377</v>
      </c>
      <c r="F30" s="10"/>
      <c r="G30" s="11" t="str">
        <f aca="false">IF(OR(F30="",F30=0),"",E30/F30-1)</f>
        <v/>
      </c>
      <c r="H30" s="12" t="n">
        <v>0.73</v>
      </c>
      <c r="I30" s="13" t="n">
        <v>46209</v>
      </c>
      <c r="J30" s="8" t="s">
        <v>23</v>
      </c>
      <c r="K30" s="14" t="str">
        <f aca="false">IF(B30="NEW",IF(H30&lt;$N$1,"New in 2026, mixed reviews","New in 2026"),IF(H30&lt;$N$1,"Low positive score: possible review bomb",""))</f>
        <v>New in 2026</v>
      </c>
      <c r="L30" s="15" t="s">
        <v>17</v>
      </c>
    </row>
    <row r="31" customFormat="false" ht="15" hidden="false" customHeight="false" outlineLevel="0" collapsed="false">
      <c r="A31" s="6" t="n">
        <f aca="false">RANK(E31,$E$5:$E$34,0)</f>
        <v>27</v>
      </c>
      <c r="B31" s="7" t="str">
        <f aca="false">IF(D31="",IF(YEAR(I31)&gt;=2026,"NEW","LATE '25"),IF(D31&gt;A31,"▲ "&amp;(D31-A31),IF(D31&lt;A31,"▼ "&amp;(A31-D31),"=")))</f>
        <v>NEW</v>
      </c>
      <c r="C31" s="8" t="s">
        <v>54</v>
      </c>
      <c r="D31" s="9"/>
      <c r="E31" s="10" t="n">
        <v>4364</v>
      </c>
      <c r="F31" s="10"/>
      <c r="G31" s="11" t="str">
        <f aca="false">IF(OR(F31="",F31=0),"",E31/F31-1)</f>
        <v/>
      </c>
      <c r="H31" s="12" t="n">
        <v>0.74</v>
      </c>
      <c r="I31" s="13" t="n">
        <v>46294</v>
      </c>
      <c r="J31" s="8" t="s">
        <v>16</v>
      </c>
      <c r="K31" s="14" t="str">
        <f aca="false">IF(B31="NEW",IF(H31&lt;$N$1,"New in 2026, mixed reviews","New in 2026"),IF(H31&lt;$N$1,"Low positive score: possible review bomb",""))</f>
        <v>New in 2026</v>
      </c>
      <c r="L31" s="15" t="s">
        <v>17</v>
      </c>
    </row>
    <row r="32" customFormat="false" ht="15" hidden="false" customHeight="false" outlineLevel="0" collapsed="false">
      <c r="A32" s="6" t="n">
        <f aca="false">RANK(E32,$E$5:$E$34,0)</f>
        <v>28</v>
      </c>
      <c r="B32" s="7" t="str">
        <f aca="false">IF(D32="",IF(YEAR(I32)&gt;=2026,"NEW","LATE '25"),IF(D32&gt;A32,"▲ "&amp;(D32-A32),IF(D32&lt;A32,"▼ "&amp;(A32-D32),"=")))</f>
        <v>▼ 1</v>
      </c>
      <c r="C32" s="8" t="s">
        <v>55</v>
      </c>
      <c r="D32" s="9" t="n">
        <v>27</v>
      </c>
      <c r="E32" s="10" t="n">
        <v>4345</v>
      </c>
      <c r="F32" s="10" t="n">
        <v>3840</v>
      </c>
      <c r="G32" s="11" t="n">
        <f aca="false">IF(OR(F32="",F32=0),"",E32/F32-1)</f>
        <v>0.131510416666667</v>
      </c>
      <c r="H32" s="12" t="n">
        <v>0.86</v>
      </c>
      <c r="I32" s="13" t="n">
        <v>43445</v>
      </c>
      <c r="J32" s="8" t="s">
        <v>45</v>
      </c>
      <c r="K32" s="14" t="str">
        <f aca="false">IF(B32="NEW",IF(H32&lt;$N$1,"New in 2026, mixed reviews","New in 2026"),IF(H32&lt;$N$1,"Low positive score: possible review bomb",""))</f>
        <v/>
      </c>
      <c r="L32" s="15" t="s">
        <v>17</v>
      </c>
    </row>
    <row r="33" customFormat="false" ht="15" hidden="false" customHeight="false" outlineLevel="0" collapsed="false">
      <c r="A33" s="6" t="n">
        <f aca="false">RANK(E33,$E$5:$E$34,0)</f>
        <v>29</v>
      </c>
      <c r="B33" s="7" t="str">
        <f aca="false">IF(D33="",IF(YEAR(I33)&gt;=2026,"NEW","LATE '25"),IF(D33&gt;A33,"▲ "&amp;(D33-A33),IF(D33&lt;A33,"▼ "&amp;(A33-D33),"=")))</f>
        <v>NEW</v>
      </c>
      <c r="C33" s="8" t="s">
        <v>56</v>
      </c>
      <c r="D33" s="9"/>
      <c r="E33" s="10" t="n">
        <v>4295</v>
      </c>
      <c r="F33" s="10"/>
      <c r="G33" s="11" t="str">
        <f aca="false">IF(OR(F33="",F33=0),"",E33/F33-1)</f>
        <v/>
      </c>
      <c r="H33" s="12" t="n">
        <v>0.77</v>
      </c>
      <c r="I33" s="13" t="n">
        <v>46071</v>
      </c>
      <c r="J33" s="8" t="s">
        <v>16</v>
      </c>
      <c r="K33" s="14" t="str">
        <f aca="false">IF(B33="NEW",IF(H33&lt;$N$1,"New in 2026, mixed reviews","New in 2026"),IF(H33&lt;$N$1,"Low positive score: possible review bomb",""))</f>
        <v>New in 2026</v>
      </c>
      <c r="L33" s="15" t="s">
        <v>17</v>
      </c>
    </row>
    <row r="34" customFormat="false" ht="15" hidden="false" customHeight="false" outlineLevel="0" collapsed="false">
      <c r="A34" s="6" t="n">
        <f aca="false">RANK(E34,$E$5:$E$34,0)</f>
        <v>30</v>
      </c>
      <c r="B34" s="7" t="str">
        <f aca="false">IF(D34="",IF(YEAR(I34)&gt;=2026,"NEW","LATE '25"),IF(D34&gt;A34,"▲ "&amp;(D34-A34),IF(D34&lt;A34,"▼ "&amp;(A34-D34),"=")))</f>
        <v>NEW</v>
      </c>
      <c r="C34" s="8" t="s">
        <v>57</v>
      </c>
      <c r="D34" s="9"/>
      <c r="E34" s="10" t="n">
        <v>4159</v>
      </c>
      <c r="F34" s="10"/>
      <c r="G34" s="11" t="str">
        <f aca="false">IF(OR(F34="",F34=0),"",E34/F34-1)</f>
        <v/>
      </c>
      <c r="H34" s="12" t="n">
        <v>0.85</v>
      </c>
      <c r="I34" s="13" t="n">
        <v>46065</v>
      </c>
      <c r="J34" s="8" t="s">
        <v>19</v>
      </c>
      <c r="K34" s="14" t="str">
        <f aca="false">IF(B34="NEW",IF(H34&lt;$N$1,"New in 2026, mixed reviews","New in 2026"),IF(H34&lt;$N$1,"Low positive score: possible review bomb",""))</f>
        <v>New in 2026</v>
      </c>
      <c r="L34" s="15" t="s">
        <v>17</v>
      </c>
    </row>
    <row r="36" customFormat="false" ht="15" hidden="false" customHeight="false" outlineLevel="0" collapsed="false">
      <c r="C36" s="16" t="s">
        <v>58</v>
      </c>
      <c r="E36" s="17" t="n">
        <f aca="false">COUNTIF(B5:B34,"NEW")</f>
        <v>9</v>
      </c>
    </row>
    <row r="37" customFormat="false" ht="15" hidden="false" customHeight="false" outlineLevel="0" collapsed="false">
      <c r="C37" s="16" t="s">
        <v>59</v>
      </c>
      <c r="E37" s="17" t="n">
        <f aca="false">COUNTIF(B5:B34,"▲*")</f>
        <v>10</v>
      </c>
    </row>
    <row r="38" customFormat="false" ht="15" hidden="false" customHeight="false" outlineLevel="0" collapsed="false">
      <c r="C38" s="16" t="s">
        <v>60</v>
      </c>
      <c r="E38" s="17" t="n">
        <f aca="false">COUNTIF(B5:B34,"▼*")</f>
        <v>8</v>
      </c>
    </row>
    <row r="39" customFormat="false" ht="15" hidden="false" customHeight="false" outlineLevel="0" collapsed="false">
      <c r="C39" s="16" t="s">
        <v>61</v>
      </c>
      <c r="E39" s="17" t="n">
        <f aca="false">SUM(E5:E34)</f>
        <v>297195</v>
      </c>
    </row>
    <row r="41" customFormat="false" ht="15" hidden="false" customHeight="false" outlineLevel="0" collapsed="false">
      <c r="C41" s="4" t="s">
        <v>62</v>
      </c>
    </row>
  </sheetData>
  <conditionalFormatting sqref="B5:B34">
    <cfRule type="expression" priority="2" aboveAverage="0" equalAverage="0" bottom="0" percent="0" rank="0" text="" dxfId="0">
      <formula>LEFT(B5,1)="▲"</formula>
    </cfRule>
    <cfRule type="expression" priority="3" aboveAverage="0" equalAverage="0" bottom="0" percent="0" rank="0" text="" dxfId="1">
      <formula>LEFT(B5,1)="▼"</formula>
    </cfRule>
    <cfRule type="expression" priority="4" aboveAverage="0" equalAverage="0" bottom="0" percent="0" rank="0" text="" dxfId="2">
      <formula>B5="NEW"</formula>
    </cfRule>
    <cfRule type="expression" priority="5" aboveAverage="0" equalAverage="0" bottom="0" percent="0" rank="0" text="" dxfId="3">
      <formula>B5="LATE '25"</formula>
    </cfRule>
  </conditionalFormatting>
  <conditionalFormatting sqref="H5:H34">
    <cfRule type="expression" priority="6" aboveAverage="0" equalAverage="0" bottom="0" percent="0" rank="0" text="" dxfId="4">
      <formula>H5&lt;$N$1</formula>
    </cfRule>
  </conditionalFormatting>
  <conditionalFormatting sqref="G5:G34">
    <cfRule type="expression" priority="7" aboveAverage="0" equalAverage="0" bottom="0" percent="0" rank="0" text="" dxfId="5">
      <formula>AND(G5&lt;&gt;"",G5&lt;0)</formula>
    </cfRule>
    <cfRule type="expression" priority="8" aboveAverage="0" equalAverage="0" bottom="0" percent="0" rank="0" text="" dxfId="6">
      <formula>AND(G5&lt;&gt;"",G5&gt;0)</formula>
    </cfRule>
  </conditionalFormatting>
  <hyperlinks>
    <hyperlink ref="L5" r:id="rId2" display="Open"/>
    <hyperlink ref="L6" r:id="rId3" display="Open"/>
    <hyperlink ref="L7" r:id="rId4" display="Open"/>
    <hyperlink ref="L8" r:id="rId5" display="Open"/>
    <hyperlink ref="L9" r:id="rId6" display="Open"/>
    <hyperlink ref="L10" r:id="rId7" display="Open"/>
    <hyperlink ref="L11" r:id="rId8" display="Open"/>
    <hyperlink ref="L12" r:id="rId9" display="Open"/>
    <hyperlink ref="L13" r:id="rId10" display="Open"/>
    <hyperlink ref="L14" r:id="rId11" display="Open"/>
    <hyperlink ref="L15" r:id="rId12" display="Open"/>
    <hyperlink ref="L16" r:id="rId13" display="Open"/>
    <hyperlink ref="L17" r:id="rId14" display="Open"/>
    <hyperlink ref="L18" r:id="rId15" display="Open"/>
    <hyperlink ref="L19" r:id="rId16" display="Open"/>
    <hyperlink ref="L20" r:id="rId17" display="Open"/>
    <hyperlink ref="L21" r:id="rId18" display="Open"/>
    <hyperlink ref="L22" r:id="rId19" display="Open"/>
    <hyperlink ref="L23" r:id="rId20" display="Open"/>
    <hyperlink ref="L24" r:id="rId21" display="Open"/>
    <hyperlink ref="L25" r:id="rId22" display="Open"/>
    <hyperlink ref="L26" r:id="rId23" display="Open"/>
    <hyperlink ref="L27" r:id="rId24" display="Open"/>
    <hyperlink ref="L28" r:id="rId25" display="Open"/>
    <hyperlink ref="L29" r:id="rId26" display="Open"/>
    <hyperlink ref="L30" r:id="rId27" display="Open"/>
    <hyperlink ref="L31" r:id="rId28" display="Open"/>
    <hyperlink ref="L32" r:id="rId29" display="Open"/>
    <hyperlink ref="L33" r:id="rId30" display="Open"/>
    <hyperlink ref="L34" r:id="rId31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4" t="s">
        <v>64</v>
      </c>
    </row>
    <row r="4" customFormat="false" ht="31.5" hidden="false" customHeight="true" outlineLevel="0" collapsed="false">
      <c r="A4" s="5" t="s">
        <v>5</v>
      </c>
      <c r="B4" s="5" t="s">
        <v>7</v>
      </c>
      <c r="C4" s="5" t="s">
        <v>65</v>
      </c>
      <c r="D4" s="5" t="s">
        <v>66</v>
      </c>
    </row>
    <row r="5" customFormat="false" ht="15" hidden="false" customHeight="false" outlineLevel="0" collapsed="false">
      <c r="A5" s="18" t="s">
        <v>67</v>
      </c>
      <c r="B5" s="19" t="n">
        <v>69775</v>
      </c>
      <c r="C5" s="18" t="s">
        <v>68</v>
      </c>
      <c r="D5" s="18" t="s">
        <v>69</v>
      </c>
    </row>
    <row r="6" customFormat="false" ht="15" hidden="false" customHeight="false" outlineLevel="0" collapsed="false">
      <c r="A6" s="18" t="s">
        <v>70</v>
      </c>
      <c r="B6" s="19" t="n">
        <v>20225</v>
      </c>
      <c r="C6" s="18" t="s">
        <v>71</v>
      </c>
      <c r="D6" s="18" t="s">
        <v>72</v>
      </c>
    </row>
    <row r="7" customFormat="false" ht="15" hidden="false" customHeight="false" outlineLevel="0" collapsed="false">
      <c r="A7" s="18" t="s">
        <v>73</v>
      </c>
      <c r="B7" s="19" t="n">
        <v>17649</v>
      </c>
      <c r="C7" s="18" t="s">
        <v>68</v>
      </c>
      <c r="D7" s="18" t="s">
        <v>74</v>
      </c>
    </row>
    <row r="8" customFormat="false" ht="15" hidden="false" customHeight="false" outlineLevel="0" collapsed="false">
      <c r="A8" s="18" t="s">
        <v>75</v>
      </c>
      <c r="B8" s="19" t="n">
        <v>17558</v>
      </c>
      <c r="C8" s="18" t="s">
        <v>68</v>
      </c>
      <c r="D8" s="18" t="s">
        <v>76</v>
      </c>
    </row>
    <row r="9" customFormat="false" ht="15" hidden="false" customHeight="false" outlineLevel="0" collapsed="false">
      <c r="A9" s="18" t="s">
        <v>77</v>
      </c>
      <c r="B9" s="19" t="n">
        <v>17311</v>
      </c>
      <c r="C9" s="18" t="s">
        <v>78</v>
      </c>
      <c r="D9" s="18" t="s">
        <v>79</v>
      </c>
    </row>
    <row r="10" customFormat="false" ht="15" hidden="false" customHeight="false" outlineLevel="0" collapsed="false">
      <c r="A10" s="18" t="s">
        <v>80</v>
      </c>
      <c r="B10" s="19" t="n">
        <v>17108</v>
      </c>
      <c r="C10" s="18" t="s">
        <v>68</v>
      </c>
      <c r="D10" s="18" t="s">
        <v>81</v>
      </c>
    </row>
    <row r="11" customFormat="false" ht="15" hidden="false" customHeight="false" outlineLevel="0" collapsed="false">
      <c r="A11" s="18" t="s">
        <v>82</v>
      </c>
      <c r="B11" s="19" t="n">
        <v>14693</v>
      </c>
      <c r="C11" s="18" t="s">
        <v>68</v>
      </c>
      <c r="D11" s="18" t="s">
        <v>83</v>
      </c>
    </row>
    <row r="12" customFormat="false" ht="15" hidden="false" customHeight="false" outlineLevel="0" collapsed="false">
      <c r="A12" s="18" t="s">
        <v>84</v>
      </c>
      <c r="B12" s="19" t="n">
        <v>14667</v>
      </c>
      <c r="C12" s="18" t="s">
        <v>68</v>
      </c>
      <c r="D12" s="18" t="s">
        <v>85</v>
      </c>
    </row>
    <row r="13" customFormat="false" ht="15" hidden="false" customHeight="false" outlineLevel="0" collapsed="false">
      <c r="A13" s="18" t="s">
        <v>86</v>
      </c>
      <c r="B13" s="19" t="n">
        <v>14622</v>
      </c>
      <c r="C13" s="18" t="s">
        <v>68</v>
      </c>
      <c r="D13" s="18" t="s">
        <v>87</v>
      </c>
    </row>
    <row r="14" customFormat="false" ht="15" hidden="false" customHeight="false" outlineLevel="0" collapsed="false">
      <c r="A14" s="18" t="s">
        <v>88</v>
      </c>
      <c r="B14" s="19" t="n">
        <v>13373</v>
      </c>
      <c r="C14" s="18" t="s">
        <v>89</v>
      </c>
      <c r="D14" s="18" t="s">
        <v>90</v>
      </c>
    </row>
    <row r="15" customFormat="false" ht="15" hidden="false" customHeight="false" outlineLevel="0" collapsed="false">
      <c r="A15" s="18" t="s">
        <v>91</v>
      </c>
      <c r="B15" s="19" t="n">
        <v>13095</v>
      </c>
      <c r="C15" s="18" t="s">
        <v>68</v>
      </c>
      <c r="D15" s="18" t="s">
        <v>92</v>
      </c>
    </row>
    <row r="16" customFormat="false" ht="15" hidden="false" customHeight="false" outlineLevel="0" collapsed="false">
      <c r="A16" s="18" t="s">
        <v>93</v>
      </c>
      <c r="B16" s="19" t="n">
        <v>13012</v>
      </c>
      <c r="C16" s="18" t="s">
        <v>94</v>
      </c>
      <c r="D16" s="18" t="s">
        <v>95</v>
      </c>
    </row>
    <row r="17" customFormat="false" ht="15" hidden="false" customHeight="false" outlineLevel="0" collapsed="false">
      <c r="A17" s="18" t="s">
        <v>96</v>
      </c>
      <c r="B17" s="19" t="n">
        <v>12768</v>
      </c>
      <c r="C17" s="18" t="s">
        <v>68</v>
      </c>
      <c r="D17" s="18" t="s">
        <v>97</v>
      </c>
    </row>
    <row r="18" customFormat="false" ht="15" hidden="false" customHeight="false" outlineLevel="0" collapsed="false">
      <c r="A18" s="18" t="s">
        <v>98</v>
      </c>
      <c r="B18" s="19" t="n">
        <v>12710</v>
      </c>
      <c r="C18" s="18" t="s">
        <v>68</v>
      </c>
      <c r="D18" s="18" t="s">
        <v>99</v>
      </c>
    </row>
    <row r="19" customFormat="false" ht="15" hidden="false" customHeight="false" outlineLevel="0" collapsed="false">
      <c r="A19" s="18" t="s">
        <v>100</v>
      </c>
      <c r="B19" s="19" t="n">
        <v>12120</v>
      </c>
      <c r="C19" s="18" t="s">
        <v>68</v>
      </c>
      <c r="D19" s="18" t="s">
        <v>101</v>
      </c>
    </row>
    <row r="20" customFormat="false" ht="15" hidden="false" customHeight="false" outlineLevel="0" collapsed="false">
      <c r="A20" s="18" t="s">
        <v>102</v>
      </c>
      <c r="B20" s="19" t="n">
        <v>12083</v>
      </c>
      <c r="C20" s="18" t="s">
        <v>68</v>
      </c>
      <c r="D20" s="18" t="s">
        <v>103</v>
      </c>
    </row>
    <row r="21" customFormat="false" ht="15" hidden="false" customHeight="false" outlineLevel="0" collapsed="false">
      <c r="A21" s="18" t="s">
        <v>104</v>
      </c>
      <c r="B21" s="19" t="n">
        <v>11949</v>
      </c>
      <c r="C21" s="18" t="s">
        <v>71</v>
      </c>
      <c r="D21" s="18" t="s">
        <v>105</v>
      </c>
    </row>
    <row r="22" customFormat="false" ht="15" hidden="false" customHeight="false" outlineLevel="0" collapsed="false">
      <c r="A22" s="18" t="s">
        <v>106</v>
      </c>
      <c r="B22" s="19" t="n">
        <v>10664</v>
      </c>
      <c r="C22" s="18" t="s">
        <v>107</v>
      </c>
      <c r="D22" s="18" t="s">
        <v>108</v>
      </c>
    </row>
    <row r="23" customFormat="false" ht="15" hidden="false" customHeight="false" outlineLevel="0" collapsed="false">
      <c r="A23" s="18" t="s">
        <v>109</v>
      </c>
      <c r="B23" s="19" t="n">
        <v>10659</v>
      </c>
      <c r="C23" s="18" t="s">
        <v>89</v>
      </c>
      <c r="D23" s="18" t="s">
        <v>110</v>
      </c>
    </row>
    <row r="24" customFormat="false" ht="15" hidden="false" customHeight="false" outlineLevel="0" collapsed="false">
      <c r="A24" s="18" t="s">
        <v>111</v>
      </c>
      <c r="B24" s="19" t="n">
        <v>9966</v>
      </c>
      <c r="C24" s="18" t="s">
        <v>68</v>
      </c>
      <c r="D24" s="18" t="s">
        <v>112</v>
      </c>
    </row>
    <row r="25" customFormat="false" ht="15" hidden="false" customHeight="false" outlineLevel="0" collapsed="false">
      <c r="A25" s="18" t="s">
        <v>113</v>
      </c>
      <c r="B25" s="19" t="n">
        <v>8966</v>
      </c>
      <c r="C25" s="18" t="s">
        <v>78</v>
      </c>
      <c r="D25" s="18" t="s">
        <v>114</v>
      </c>
    </row>
    <row r="26" customFormat="false" ht="15" hidden="false" customHeight="false" outlineLevel="0" collapsed="false">
      <c r="A26" s="18" t="s">
        <v>115</v>
      </c>
      <c r="B26" s="19" t="n">
        <v>7749</v>
      </c>
      <c r="C26" s="18" t="s">
        <v>68</v>
      </c>
      <c r="D26" s="18" t="s">
        <v>116</v>
      </c>
    </row>
    <row r="27" customFormat="false" ht="15" hidden="false" customHeight="false" outlineLevel="0" collapsed="false">
      <c r="A27" s="18" t="s">
        <v>117</v>
      </c>
      <c r="B27" s="19" t="n">
        <v>7032</v>
      </c>
      <c r="C27" s="18" t="s">
        <v>68</v>
      </c>
      <c r="D27" s="18" t="s">
        <v>118</v>
      </c>
    </row>
    <row r="28" customFormat="false" ht="15" hidden="false" customHeight="false" outlineLevel="0" collapsed="false">
      <c r="A28" s="18" t="s">
        <v>119</v>
      </c>
      <c r="B28" s="19" t="n">
        <v>6968</v>
      </c>
      <c r="C28" s="18" t="s">
        <v>68</v>
      </c>
      <c r="D28" s="18" t="s">
        <v>120</v>
      </c>
    </row>
    <row r="29" customFormat="false" ht="15" hidden="false" customHeight="false" outlineLevel="0" collapsed="false">
      <c r="A29" s="18" t="s">
        <v>121</v>
      </c>
      <c r="B29" s="19" t="n">
        <v>6955</v>
      </c>
      <c r="C29" s="18" t="s">
        <v>89</v>
      </c>
      <c r="D29" s="18" t="s">
        <v>122</v>
      </c>
    </row>
    <row r="30" customFormat="false" ht="15" hidden="false" customHeight="false" outlineLevel="0" collapsed="false">
      <c r="A30" s="18" t="s">
        <v>123</v>
      </c>
      <c r="B30" s="19" t="n">
        <v>6942</v>
      </c>
      <c r="C30" s="18" t="s">
        <v>68</v>
      </c>
      <c r="D30" s="18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20" t="s">
        <v>125</v>
      </c>
    </row>
    <row r="2" customFormat="false" ht="23.85" hidden="false" customHeight="false" outlineLevel="0" collapsed="false">
      <c r="A2" s="21" t="s">
        <v>126</v>
      </c>
    </row>
    <row r="3" customFormat="false" ht="23.85" hidden="false" customHeight="false" outlineLevel="0" collapsed="false">
      <c r="A3" s="21" t="s">
        <v>127</v>
      </c>
    </row>
    <row r="4" customFormat="false" ht="23.85" hidden="false" customHeight="false" outlineLevel="0" collapsed="false">
      <c r="A4" s="21" t="s">
        <v>128</v>
      </c>
    </row>
    <row r="5" customFormat="false" ht="15" hidden="false" customHeight="false" outlineLevel="0" collapsed="false">
      <c r="A5" s="21"/>
    </row>
    <row r="6" customFormat="false" ht="15" hidden="false" customHeight="false" outlineLevel="0" collapsed="false">
      <c r="A6" s="20" t="s">
        <v>129</v>
      </c>
    </row>
    <row r="7" customFormat="false" ht="15" hidden="false" customHeight="false" outlineLevel="0" collapsed="false">
      <c r="A7" s="21" t="s">
        <v>130</v>
      </c>
    </row>
    <row r="8" customFormat="false" ht="23.85" hidden="false" customHeight="false" outlineLevel="0" collapsed="false">
      <c r="A8" s="21" t="s">
        <v>131</v>
      </c>
    </row>
    <row r="9" customFormat="false" ht="23.85" hidden="false" customHeight="false" outlineLevel="0" collapsed="false">
      <c r="A9" s="21" t="s">
        <v>132</v>
      </c>
    </row>
    <row r="10" customFormat="false" ht="15" hidden="false" customHeight="false" outlineLevel="0" collapsed="false">
      <c r="A10" s="21" t="s">
        <v>133</v>
      </c>
    </row>
    <row r="11" customFormat="false" ht="15" hidden="false" customHeight="false" outlineLevel="0" collapsed="false">
      <c r="A11" s="21"/>
    </row>
    <row r="12" customFormat="false" ht="15" hidden="false" customHeight="false" outlineLevel="0" collapsed="false">
      <c r="A12" s="20" t="s">
        <v>134</v>
      </c>
    </row>
    <row r="13" customFormat="false" ht="23.85" hidden="false" customHeight="false" outlineLevel="0" collapsed="false">
      <c r="A13" s="21" t="s">
        <v>135</v>
      </c>
    </row>
    <row r="14" customFormat="false" ht="23.85" hidden="false" customHeight="false" outlineLevel="0" collapsed="false">
      <c r="A14" s="21" t="s">
        <v>136</v>
      </c>
    </row>
    <row r="15" customFormat="false" ht="15" hidden="false" customHeight="false" outlineLevel="0" collapsed="false">
      <c r="A15" s="21" t="s">
        <v>137</v>
      </c>
    </row>
    <row r="16" customFormat="false" ht="15" hidden="false" customHeight="false" outlineLevel="0" collapsed="false">
      <c r="A16" s="21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2026-10-27T11:44:12Z</dcterms:created>
  <dc:creator>openpyxl</dc:creator>
  <dc:description/>
  <dc:language>en-US</dc:language>
  <cp:lastModifiedBy/>
  <dcterms:modified xsi:type="dcterms:W3CDTF">2026-10-27T11:44:12Z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